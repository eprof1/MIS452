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0" windowWidth="19155" windowHeight="7965"/>
  </bookViews>
  <sheets>
    <sheet name="PayBack Period" sheetId="2" r:id="rId1"/>
    <sheet name="PayBackPeriodChart" sheetId="4" r:id="rId2"/>
    <sheet name="MTBF" sheetId="1" r:id="rId3"/>
    <sheet name="Sheet3" sheetId="3" r:id="rId4"/>
  </sheets>
  <calcPr calcId="125725"/>
</workbook>
</file>

<file path=xl/calcChain.xml><?xml version="1.0" encoding="utf-8"?>
<calcChain xmlns="http://schemas.openxmlformats.org/spreadsheetml/2006/main">
  <c r="A17" i="2"/>
  <c r="A3" i="1"/>
  <c r="A4" s="1"/>
  <c r="D8" i="2"/>
  <c r="E8"/>
  <c r="F8"/>
  <c r="G8"/>
  <c r="H8"/>
  <c r="C8"/>
  <c r="D7"/>
  <c r="E7"/>
  <c r="F7" s="1"/>
  <c r="G7" s="1"/>
  <c r="H7" s="1"/>
  <c r="C7"/>
  <c r="B7"/>
</calcChain>
</file>

<file path=xl/sharedStrings.xml><?xml version="1.0" encoding="utf-8"?>
<sst xmlns="http://schemas.openxmlformats.org/spreadsheetml/2006/main" count="16" uniqueCount="16">
  <si>
    <t>Reliability</t>
  </si>
  <si>
    <t>-1/MTBF * T</t>
  </si>
  <si>
    <t>exp-(1/MTBF * t)</t>
  </si>
  <si>
    <t>Development Cost</t>
  </si>
  <si>
    <t>Operation &amp; Maintenance</t>
  </si>
  <si>
    <t>Year</t>
  </si>
  <si>
    <t>Benefits</t>
  </si>
  <si>
    <t>Discount Rate</t>
  </si>
  <si>
    <t>cash flow, without discount</t>
  </si>
  <si>
    <t>pv, discounted</t>
  </si>
  <si>
    <t>see:  Wikipedia</t>
  </si>
  <si>
    <t>http://en.wikipedia.org/wiki/Payback_period</t>
  </si>
  <si>
    <t>y = 182495x - 465564</t>
  </si>
  <si>
    <t>if y = 0, then x = ?</t>
  </si>
  <si>
    <t>x = 465564/182495</t>
  </si>
  <si>
    <t>years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</si>
</sst>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164" formatCode="0.000000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0" borderId="0" xfId="0" quotePrefix="1"/>
    <xf numFmtId="9" fontId="0" fillId="0" borderId="0" xfId="0" applyNumberFormat="1"/>
    <xf numFmtId="8" fontId="0" fillId="0" borderId="0" xfId="0" applyNumberFormat="1"/>
    <xf numFmtId="0" fontId="1" fillId="0" borderId="0" xfId="1" applyAlignment="1" applyProtection="1"/>
    <xf numFmtId="164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'PayBack Period'!$A$7</c:f>
              <c:strCache>
                <c:ptCount val="1"/>
                <c:pt idx="0">
                  <c:v>cash flow, without discount</c:v>
                </c:pt>
              </c:strCache>
            </c:strRef>
          </c:tx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'PayBack Period'!$B$1:$H$1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'PayBack Period'!$B$7:$H$7</c:f>
              <c:numCache>
                <c:formatCode>General</c:formatCode>
                <c:ptCount val="7"/>
                <c:pt idx="0">
                  <c:v>-418040</c:v>
                </c:pt>
                <c:pt idx="1">
                  <c:v>-283085</c:v>
                </c:pt>
                <c:pt idx="2">
                  <c:v>-129085</c:v>
                </c:pt>
                <c:pt idx="3">
                  <c:v>43915</c:v>
                </c:pt>
                <c:pt idx="4">
                  <c:v>235915</c:v>
                </c:pt>
                <c:pt idx="5">
                  <c:v>446915</c:v>
                </c:pt>
                <c:pt idx="6">
                  <c:v>676915</c:v>
                </c:pt>
              </c:numCache>
            </c:numRef>
          </c:yVal>
        </c:ser>
        <c:axId val="84015744"/>
        <c:axId val="49139712"/>
      </c:scatterChart>
      <c:valAx>
        <c:axId val="84015744"/>
        <c:scaling>
          <c:orientation val="minMax"/>
        </c:scaling>
        <c:axPos val="b"/>
        <c:numFmt formatCode="General" sourceLinked="1"/>
        <c:tickLblPos val="nextTo"/>
        <c:crossAx val="49139712"/>
        <c:crosses val="autoZero"/>
        <c:crossBetween val="midCat"/>
      </c:valAx>
      <c:valAx>
        <c:axId val="49139712"/>
        <c:scaling>
          <c:orientation val="minMax"/>
        </c:scaling>
        <c:axPos val="l"/>
        <c:majorGridlines/>
        <c:numFmt formatCode="General" sourceLinked="1"/>
        <c:tickLblPos val="nextTo"/>
        <c:crossAx val="84015744"/>
        <c:crosses val="autoZero"/>
        <c:crossBetween val="midCat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n.wikipedia.org/wiki/Payback_peri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>
      <selection activeCell="B20" sqref="B20"/>
    </sheetView>
  </sheetViews>
  <sheetFormatPr defaultRowHeight="15"/>
  <cols>
    <col min="1" max="1" width="26.140625" bestFit="1" customWidth="1"/>
    <col min="3" max="3" width="12.5703125" customWidth="1"/>
    <col min="4" max="4" width="12.5703125" bestFit="1" customWidth="1"/>
    <col min="5" max="5" width="11.5703125" bestFit="1" customWidth="1"/>
    <col min="6" max="6" width="12.5703125" bestFit="1" customWidth="1"/>
    <col min="7" max="8" width="13.5703125" bestFit="1" customWidth="1"/>
  </cols>
  <sheetData>
    <row r="1" spans="1:8">
      <c r="A1" t="s">
        <v>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</row>
    <row r="2" spans="1:8">
      <c r="A2" t="s">
        <v>3</v>
      </c>
      <c r="B2">
        <v>418040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4</v>
      </c>
      <c r="B3">
        <v>0</v>
      </c>
      <c r="C3">
        <v>15045</v>
      </c>
      <c r="D3">
        <v>16000</v>
      </c>
      <c r="E3">
        <v>17000</v>
      </c>
      <c r="F3">
        <v>18000</v>
      </c>
      <c r="G3">
        <v>19000</v>
      </c>
      <c r="H3">
        <v>20000</v>
      </c>
    </row>
    <row r="4" spans="1:8">
      <c r="A4" t="s">
        <v>6</v>
      </c>
      <c r="B4">
        <v>0</v>
      </c>
      <c r="C4">
        <v>150000</v>
      </c>
      <c r="D4">
        <v>170000</v>
      </c>
      <c r="E4">
        <v>190000</v>
      </c>
      <c r="F4">
        <v>210000</v>
      </c>
      <c r="G4">
        <v>230000</v>
      </c>
      <c r="H4">
        <v>250000</v>
      </c>
    </row>
    <row r="5" spans="1:8">
      <c r="A5" t="s">
        <v>7</v>
      </c>
      <c r="B5" s="2">
        <v>0.06</v>
      </c>
      <c r="C5" s="2">
        <v>0.06</v>
      </c>
      <c r="D5" s="2">
        <v>0.06</v>
      </c>
      <c r="E5" s="2">
        <v>0.06</v>
      </c>
      <c r="F5" s="2">
        <v>0.06</v>
      </c>
      <c r="G5" s="2">
        <v>0.06</v>
      </c>
      <c r="H5" s="2">
        <v>0.06</v>
      </c>
    </row>
    <row r="7" spans="1:8">
      <c r="A7" t="s">
        <v>8</v>
      </c>
      <c r="B7">
        <f xml:space="preserve"> -B2</f>
        <v>-418040</v>
      </c>
      <c r="C7">
        <f>B7 -C2-C3+C4</f>
        <v>-283085</v>
      </c>
      <c r="D7">
        <f t="shared" ref="D7:H7" si="0">C7 -D2-D3+D4</f>
        <v>-129085</v>
      </c>
      <c r="E7">
        <f t="shared" si="0"/>
        <v>43915</v>
      </c>
      <c r="F7">
        <f t="shared" si="0"/>
        <v>235915</v>
      </c>
      <c r="G7">
        <f t="shared" si="0"/>
        <v>446915</v>
      </c>
      <c r="H7">
        <f t="shared" si="0"/>
        <v>676915</v>
      </c>
    </row>
    <row r="8" spans="1:8">
      <c r="A8" t="s">
        <v>9</v>
      </c>
      <c r="C8" s="3">
        <f>C7/(1+C5)^C1</f>
        <v>-267061.32075471699</v>
      </c>
      <c r="D8" s="3">
        <f t="shared" ref="D8:H8" si="1">D7/(1+D5)^D1</f>
        <v>-114885.19045923815</v>
      </c>
      <c r="E8" s="3">
        <f t="shared" si="1"/>
        <v>36871.880814363525</v>
      </c>
      <c r="F8" s="3">
        <f t="shared" si="1"/>
        <v>186866.77656279758</v>
      </c>
      <c r="G8" s="3">
        <f t="shared" si="1"/>
        <v>333960.8863264338</v>
      </c>
      <c r="H8" s="3">
        <f t="shared" si="1"/>
        <v>477198.36423172348</v>
      </c>
    </row>
    <row r="10" spans="1:8">
      <c r="A10" t="s">
        <v>10</v>
      </c>
    </row>
    <row r="11" spans="1:8">
      <c r="A11" s="4" t="s">
        <v>11</v>
      </c>
    </row>
    <row r="14" spans="1:8">
      <c r="A14" t="s">
        <v>12</v>
      </c>
    </row>
    <row r="15" spans="1:8">
      <c r="A15" t="s">
        <v>13</v>
      </c>
    </row>
    <row r="16" spans="1:8">
      <c r="A16" t="s">
        <v>14</v>
      </c>
    </row>
    <row r="17" spans="1:2">
      <c r="A17" s="6">
        <f xml:space="preserve"> 465564/182495</f>
        <v>2.5511055097399931</v>
      </c>
      <c r="B17" t="s">
        <v>15</v>
      </c>
    </row>
  </sheetData>
  <hyperlinks>
    <hyperlink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4"/>
  <sheetViews>
    <sheetView workbookViewId="0">
      <selection activeCell="A4" sqref="A4"/>
    </sheetView>
  </sheetViews>
  <sheetFormatPr defaultRowHeight="15"/>
  <cols>
    <col min="1" max="1" width="16.85546875" customWidth="1"/>
    <col min="2" max="2" width="21.7109375" customWidth="1"/>
  </cols>
  <sheetData>
    <row r="2" spans="1:2">
      <c r="A2" t="s">
        <v>0</v>
      </c>
    </row>
    <row r="3" spans="1:2">
      <c r="A3">
        <f>-1/500 * 4/3600</f>
        <v>-2.2222222222222221E-6</v>
      </c>
      <c r="B3" s="1" t="s">
        <v>1</v>
      </c>
    </row>
    <row r="4" spans="1:2">
      <c r="A4" s="5">
        <f>EXP(A3)</f>
        <v>0.9999977777802469</v>
      </c>
      <c r="B4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PayBack Period</vt:lpstr>
      <vt:lpstr>MTBF</vt:lpstr>
      <vt:lpstr>Sheet3</vt:lpstr>
      <vt:lpstr>PayBackPeriodChart</vt:lpstr>
    </vt:vector>
  </TitlesOfParts>
  <Company>WSU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Setup</cp:lastModifiedBy>
  <dcterms:created xsi:type="dcterms:W3CDTF">2010-04-22T02:38:16Z</dcterms:created>
  <dcterms:modified xsi:type="dcterms:W3CDTF">2010-11-23T03:46:37Z</dcterms:modified>
</cp:coreProperties>
</file>